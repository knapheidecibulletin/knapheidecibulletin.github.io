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J:\All Departments\Knapheide Continuous Improvement\Belt Certification &amp; Training Materials\Training Material\CI Tools\"/>
    </mc:Choice>
  </mc:AlternateContent>
  <bookViews>
    <workbookView xWindow="0" yWindow="0" windowWidth="28800" windowHeight="14430" tabRatio="786"/>
  </bookViews>
  <sheets>
    <sheet name="Time Study_1" sheetId="6" r:id="rId1"/>
  </sheets>
  <definedNames>
    <definedName name="_xlnm.Print_Area" localSheetId="0">'Time Study_1'!$A$1:$J$23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6" l="1"/>
  <c r="H3" i="6"/>
  <c r="H2" i="6"/>
  <c r="H1" i="6" l="1"/>
  <c r="J2" i="6" s="1"/>
  <c r="H7" i="6"/>
  <c r="H8" i="6"/>
  <c r="H9" i="6"/>
  <c r="H10" i="6"/>
  <c r="H11" i="6"/>
  <c r="H12" i="6"/>
  <c r="H13" i="6"/>
  <c r="H14" i="6"/>
  <c r="H15" i="6"/>
  <c r="H16" i="6"/>
  <c r="H17" i="6"/>
  <c r="H18" i="6"/>
  <c r="H22" i="6"/>
  <c r="H23" i="6"/>
  <c r="J4" i="6" l="1"/>
  <c r="J3" i="6"/>
  <c r="O23" i="6"/>
  <c r="J23" i="6"/>
  <c r="G23" i="6"/>
  <c r="A23" i="6"/>
  <c r="O22" i="6"/>
  <c r="J22" i="6"/>
  <c r="G22" i="6"/>
  <c r="A22" i="6"/>
  <c r="O21" i="6"/>
  <c r="G21" i="6"/>
  <c r="H21" i="6" s="1"/>
  <c r="A21" i="6"/>
  <c r="O20" i="6"/>
  <c r="A20" i="6"/>
  <c r="G20" i="6" s="1"/>
  <c r="H20" i="6" s="1"/>
  <c r="O19" i="6"/>
  <c r="A19" i="6"/>
  <c r="G19" i="6" s="1"/>
  <c r="H19" i="6" s="1"/>
  <c r="O18" i="6"/>
  <c r="A18" i="6"/>
  <c r="G18" i="6" s="1"/>
  <c r="O17" i="6"/>
  <c r="A17" i="6"/>
  <c r="G17" i="6" s="1"/>
  <c r="O16" i="6"/>
  <c r="A16" i="6"/>
  <c r="G16" i="6" s="1"/>
  <c r="O15" i="6"/>
  <c r="G15" i="6"/>
  <c r="A15" i="6"/>
  <c r="O14" i="6"/>
  <c r="A14" i="6"/>
  <c r="G14" i="6" s="1"/>
  <c r="O13" i="6"/>
  <c r="A13" i="6"/>
  <c r="G13" i="6" s="1"/>
  <c r="O12" i="6"/>
  <c r="A12" i="6"/>
  <c r="G12" i="6" s="1"/>
  <c r="O11" i="6"/>
  <c r="A11" i="6"/>
  <c r="G11" i="6" s="1"/>
  <c r="O10" i="6"/>
  <c r="A10" i="6"/>
  <c r="G10" i="6" s="1"/>
  <c r="O9" i="6"/>
  <c r="A9" i="6"/>
  <c r="G9" i="6" s="1"/>
  <c r="O8" i="6"/>
  <c r="A8" i="6"/>
  <c r="G8" i="6" s="1"/>
  <c r="O7" i="6"/>
  <c r="A7" i="6"/>
  <c r="G7" i="6" s="1"/>
  <c r="O6" i="6"/>
  <c r="G6" i="6"/>
  <c r="H6" i="6" l="1"/>
  <c r="J6" i="6" s="1"/>
  <c r="J21" i="6"/>
  <c r="J20" i="6"/>
  <c r="J19" i="6"/>
  <c r="J7" i="6"/>
  <c r="J8" i="6" s="1"/>
  <c r="J9" i="6" s="1"/>
  <c r="J10" i="6" s="1"/>
  <c r="J11" i="6" s="1"/>
  <c r="J12" i="6" s="1"/>
  <c r="J13" i="6" s="1"/>
  <c r="J14" i="6" s="1"/>
  <c r="J15" i="6" s="1"/>
  <c r="J16" i="6" s="1"/>
  <c r="J17" i="6" s="1"/>
  <c r="J18" i="6" s="1"/>
</calcChain>
</file>

<file path=xl/comments1.xml><?xml version="1.0" encoding="utf-8"?>
<comments xmlns="http://schemas.openxmlformats.org/spreadsheetml/2006/main">
  <authors>
    <author>David Kasza</author>
  </authors>
  <commentList>
    <comment ref="D1" authorId="0" shapeId="0">
      <text>
        <r>
          <rPr>
            <b/>
            <sz val="12"/>
            <color indexed="81"/>
            <rFont val="Arial"/>
            <family val="2"/>
          </rPr>
          <t>David Kasza: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u/>
            <sz val="20"/>
            <color indexed="81"/>
            <rFont val="Arial"/>
            <family val="2"/>
          </rPr>
          <t>Notes for use of this spreadshee</t>
        </r>
        <r>
          <rPr>
            <sz val="20"/>
            <color indexed="81"/>
            <rFont val="Arial"/>
            <family val="2"/>
          </rPr>
          <t xml:space="preserve">t: </t>
        </r>
        <r>
          <rPr>
            <b/>
            <sz val="20"/>
            <color indexed="81"/>
            <rFont val="Arial"/>
            <family val="2"/>
          </rPr>
          <t>Only change the fields highlighted in light Green.</t>
        </r>
        <r>
          <rPr>
            <sz val="20"/>
            <color indexed="81"/>
            <rFont val="Arial"/>
            <family val="2"/>
          </rPr>
          <t xml:space="preserve"> </t>
        </r>
        <r>
          <rPr>
            <i/>
            <sz val="20"/>
            <color indexed="81"/>
            <rFont val="Arial"/>
            <family val="2"/>
          </rPr>
          <t>All other items are automatically calculated.Start by entering a time</t>
        </r>
        <r>
          <rPr>
            <b/>
            <i/>
            <sz val="20"/>
            <color indexed="81"/>
            <rFont val="Arial"/>
            <family val="2"/>
          </rPr>
          <t xml:space="preserve"> ctrl+"t"</t>
        </r>
        <r>
          <rPr>
            <i/>
            <sz val="20"/>
            <color indexed="81"/>
            <rFont val="Arial"/>
            <family val="2"/>
          </rPr>
          <t xml:space="preserve"> in the first field in the End Time column. This is your time start for the observation or the zero point.</t>
        </r>
      </text>
    </comment>
    <comment ref="H5" authorId="0" shapeId="0">
      <text>
        <r>
          <rPr>
            <b/>
            <sz val="12"/>
            <color indexed="81"/>
            <rFont val="Arial"/>
            <family val="2"/>
          </rPr>
          <t>David Kasza: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Calculates elapsed tme in decimal format.</t>
        </r>
      </text>
    </comment>
    <comment ref="I5" authorId="0" shapeId="0">
      <text>
        <r>
          <rPr>
            <b/>
            <sz val="12"/>
            <color indexed="81"/>
            <rFont val="Arial"/>
            <family val="2"/>
          </rPr>
          <t>David Kasza: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 xml:space="preserve">Insert </t>
        </r>
        <r>
          <rPr>
            <b/>
            <sz val="14"/>
            <color indexed="81"/>
            <rFont val="Arial"/>
            <family val="2"/>
          </rPr>
          <t>"N"</t>
        </r>
        <r>
          <rPr>
            <sz val="14"/>
            <color indexed="81"/>
            <rFont val="Arial"/>
            <family val="2"/>
          </rPr>
          <t xml:space="preserve"> for Non Value Added,</t>
        </r>
        <r>
          <rPr>
            <b/>
            <sz val="14"/>
            <color indexed="81"/>
            <rFont val="Arial"/>
            <family val="2"/>
          </rPr>
          <t xml:space="preserve"> "B"</t>
        </r>
        <r>
          <rPr>
            <sz val="14"/>
            <color indexed="81"/>
            <rFont val="Arial"/>
            <family val="2"/>
          </rPr>
          <t xml:space="preserve"> for Business Value Added and </t>
        </r>
        <r>
          <rPr>
            <b/>
            <sz val="14"/>
            <color indexed="81"/>
            <rFont val="Arial"/>
            <family val="2"/>
          </rPr>
          <t>"V"</t>
        </r>
        <r>
          <rPr>
            <sz val="14"/>
            <color indexed="81"/>
            <rFont val="Arial"/>
            <family val="2"/>
          </rPr>
          <t xml:space="preserve"> for Value Added Activities</t>
        </r>
      </text>
    </comment>
    <comment ref="J5" authorId="0" shapeId="0">
      <text>
        <r>
          <rPr>
            <b/>
            <sz val="12"/>
            <color indexed="81"/>
            <rFont val="Arial"/>
            <family val="2"/>
          </rPr>
          <t>David Kasza: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6"/>
            <color indexed="81"/>
            <rFont val="Arial"/>
            <family val="2"/>
          </rPr>
          <t>Calculates the running time in decimal format.</t>
        </r>
      </text>
    </comment>
    <comment ref="B6" authorId="0" shapeId="0">
      <text>
        <r>
          <rPr>
            <b/>
            <sz val="12"/>
            <color indexed="81"/>
            <rFont val="Arial"/>
            <family val="2"/>
          </rPr>
          <t>David Kasza: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Use</t>
        </r>
        <r>
          <rPr>
            <b/>
            <sz val="14"/>
            <color indexed="81"/>
            <rFont val="Arial"/>
            <family val="2"/>
          </rPr>
          <t xml:space="preserve"> Control</t>
        </r>
        <r>
          <rPr>
            <sz val="14"/>
            <color indexed="81"/>
            <rFont val="Arial"/>
            <family val="2"/>
          </rPr>
          <t xml:space="preserve"> + "</t>
        </r>
        <r>
          <rPr>
            <b/>
            <sz val="14"/>
            <color indexed="81"/>
            <rFont val="Arial"/>
            <family val="2"/>
          </rPr>
          <t>T</t>
        </r>
        <r>
          <rPr>
            <sz val="14"/>
            <color indexed="81"/>
            <rFont val="Arial"/>
            <family val="2"/>
          </rPr>
          <t xml:space="preserve">" to enter current time in this column. </t>
        </r>
        <r>
          <rPr>
            <b/>
            <sz val="14"/>
            <color indexed="81"/>
            <rFont val="Arial"/>
            <family val="2"/>
          </rPr>
          <t>Start in this field</t>
        </r>
        <r>
          <rPr>
            <sz val="14"/>
            <color indexed="81"/>
            <rFont val="Arial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<sst xmlns="http://schemas.openxmlformats.org/spreadsheetml/2006/main" count="23" uniqueCount="23">
  <si>
    <t>DATE</t>
  </si>
  <si>
    <t>Total Value Added</t>
  </si>
  <si>
    <t>STATION</t>
  </si>
  <si>
    <t>Total Business Value Added</t>
  </si>
  <si>
    <t>SHIFT</t>
  </si>
  <si>
    <t># OF WORKERS</t>
  </si>
  <si>
    <t>START TIME</t>
  </si>
  <si>
    <t>END TIME</t>
  </si>
  <si>
    <t>STEP / ACTIONS
(Add Comments in Parenthesis)</t>
  </si>
  <si>
    <t>TOOLS / PARTS / HARDWARE</t>
  </si>
  <si>
    <t>Elapsed Time</t>
  </si>
  <si>
    <t>b</t>
  </si>
  <si>
    <t>v</t>
  </si>
  <si>
    <t>n</t>
  </si>
  <si>
    <t>Please Note Steps/Actions to Accomplish Work and Also Items that Disrupt Process Flow in STEPS / ACTIONS Section such as:
Going to Get ______ ;  Looking for ______ ;  Troubleshooting _____; Answering Questions;  Waitning on ______ ;  Reworking __________;
Other Items that Take Away from Proces Flow: ___________.</t>
  </si>
  <si>
    <t xml:space="preserve">Observer: </t>
  </si>
  <si>
    <t xml:space="preserve">Employee(s): </t>
  </si>
  <si>
    <t>Value Added</t>
  </si>
  <si>
    <t>Minutes as a Decimal</t>
  </si>
  <si>
    <t>Runnning Time in Minutes</t>
  </si>
  <si>
    <t>Total Non Value Added</t>
  </si>
  <si>
    <t>TOTAL TIME (min)</t>
  </si>
  <si>
    <t xml:space="preserve">REL %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</si>
</sst>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:mm:ss;@"/>
    <numFmt numFmtId="165" formatCode="[h]:mm:ss;@"/>
    <numFmt numFmtId="166" formatCode="0.0%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Arial"/>
      <family val="2"/>
    </font>
    <font>
      <sz val="18"/>
      <color theme="1"/>
      <name val="Arial"/>
      <family val="2"/>
    </font>
    <font>
      <sz val="14"/>
      <color theme="1"/>
      <name val="Arial"/>
      <family val="2"/>
    </font>
    <font>
      <sz val="11"/>
      <color theme="1"/>
      <name val="Arial"/>
      <family val="2"/>
    </font>
    <font>
      <b/>
      <sz val="18"/>
      <name val="Arial"/>
      <family val="2"/>
    </font>
    <font>
      <b/>
      <sz val="11"/>
      <color theme="1"/>
      <name val="Arial"/>
      <family val="2"/>
    </font>
    <font>
      <b/>
      <sz val="12"/>
      <color indexed="81"/>
      <name val="Arial"/>
      <family val="2"/>
    </font>
    <font>
      <sz val="12"/>
      <color indexed="81"/>
      <name val="Arial"/>
      <family val="2"/>
    </font>
    <font>
      <sz val="9"/>
      <color indexed="81"/>
      <name val="Tahoma"/>
      <family val="2"/>
    </font>
    <font>
      <b/>
      <sz val="12"/>
      <color theme="1"/>
      <name val="Arial"/>
      <family val="2"/>
    </font>
    <font>
      <b/>
      <sz val="14"/>
      <color indexed="81"/>
      <name val="Arial"/>
      <family val="2"/>
    </font>
    <font>
      <sz val="14"/>
      <color indexed="81"/>
      <name val="Arial"/>
      <family val="2"/>
    </font>
    <font>
      <sz val="16"/>
      <color indexed="81"/>
      <name val="Arial"/>
      <family val="2"/>
    </font>
    <font>
      <sz val="20"/>
      <color indexed="81"/>
      <name val="Arial"/>
      <family val="2"/>
    </font>
    <font>
      <b/>
      <sz val="20"/>
      <color indexed="81"/>
      <name val="Arial"/>
      <family val="2"/>
    </font>
    <font>
      <u/>
      <sz val="20"/>
      <color indexed="81"/>
      <name val="Arial"/>
      <family val="2"/>
    </font>
    <font>
      <i/>
      <sz val="20"/>
      <color indexed="81"/>
      <name val="Arial"/>
      <family val="2"/>
    </font>
    <font>
      <b/>
      <i/>
      <sz val="20"/>
      <color indexed="81"/>
      <name val="Arial"/>
      <family val="2"/>
    </font>
    <font>
      <b/>
      <i/>
      <sz val="18"/>
      <color theme="1"/>
      <name val="Arial"/>
      <family val="2"/>
    </font>
    <font>
      <b/>
      <i/>
      <sz val="14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0099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3">
    <xf numFmtId="0" fontId="0" fillId="0" borderId="0" xfId="0"/>
    <xf numFmtId="14" fontId="2" fillId="0" borderId="2" xfId="0" applyNumberFormat="1" applyFont="1" applyBorder="1" applyAlignment="1" applyProtection="1">
      <alignment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4" fillId="3" borderId="0" xfId="0" applyFont="1" applyFill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2" fillId="0" borderId="2" xfId="0" applyFont="1" applyBorder="1" applyAlignment="1" applyProtection="1">
      <alignment vertical="center"/>
      <protection locked="0"/>
    </xf>
    <xf numFmtId="2" fontId="2" fillId="0" borderId="2" xfId="0" applyNumberFormat="1" applyFont="1" applyBorder="1" applyAlignment="1" applyProtection="1">
      <alignment horizontal="center" vertical="center"/>
      <protection locked="0"/>
    </xf>
    <xf numFmtId="0" fontId="5" fillId="3" borderId="0" xfId="0" applyFont="1" applyFill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164" fontId="5" fillId="0" borderId="0" xfId="0" applyNumberFormat="1" applyFont="1" applyAlignment="1" applyProtection="1">
      <alignment vertical="center"/>
      <protection locked="0"/>
    </xf>
    <xf numFmtId="0" fontId="3" fillId="0" borderId="2" xfId="0" applyFont="1" applyBorder="1" applyAlignment="1" applyProtection="1">
      <alignment vertical="center"/>
      <protection locked="0"/>
    </xf>
    <xf numFmtId="0" fontId="2" fillId="0" borderId="2" xfId="0" applyFont="1" applyBorder="1" applyAlignment="1" applyProtection="1">
      <alignment horizontal="left" vertical="center"/>
      <protection locked="0"/>
    </xf>
    <xf numFmtId="0" fontId="2" fillId="0" borderId="2" xfId="0" applyFont="1" applyBorder="1" applyAlignment="1" applyProtection="1">
      <alignment vertical="center" wrapText="1"/>
      <protection locked="0"/>
    </xf>
    <xf numFmtId="0" fontId="2" fillId="6" borderId="2" xfId="0" applyFont="1" applyFill="1" applyBorder="1" applyAlignment="1" applyProtection="1">
      <alignment horizontal="center" vertical="center" wrapText="1"/>
      <protection locked="0"/>
    </xf>
    <xf numFmtId="2" fontId="2" fillId="6" borderId="2" xfId="0" applyNumberFormat="1" applyFont="1" applyFill="1" applyBorder="1" applyAlignment="1" applyProtection="1">
      <alignment horizontal="center" vertical="center" wrapText="1"/>
      <protection locked="0"/>
    </xf>
    <xf numFmtId="0" fontId="7" fillId="3" borderId="0" xfId="0" applyFont="1" applyFill="1" applyBorder="1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164" fontId="3" fillId="7" borderId="2" xfId="0" applyNumberFormat="1" applyFont="1" applyFill="1" applyBorder="1" applyAlignment="1" applyProtection="1">
      <alignment vertical="center"/>
      <protection locked="0"/>
    </xf>
    <xf numFmtId="2" fontId="3" fillId="7" borderId="2" xfId="0" applyNumberFormat="1" applyFont="1" applyFill="1" applyBorder="1" applyAlignment="1" applyProtection="1">
      <alignment horizontal="center" vertical="center"/>
      <protection locked="0"/>
    </xf>
    <xf numFmtId="0" fontId="5" fillId="3" borderId="0" xfId="0" applyFont="1" applyFill="1" applyBorder="1" applyAlignment="1" applyProtection="1">
      <alignment vertical="center"/>
      <protection locked="0"/>
    </xf>
    <xf numFmtId="18" fontId="5" fillId="3" borderId="0" xfId="0" applyNumberFormat="1" applyFont="1" applyFill="1" applyBorder="1" applyAlignment="1" applyProtection="1">
      <alignment vertical="center"/>
      <protection locked="0"/>
    </xf>
    <xf numFmtId="2" fontId="5" fillId="3" borderId="0" xfId="0" applyNumberFormat="1" applyFont="1" applyFill="1" applyBorder="1" applyAlignment="1" applyProtection="1">
      <alignment vertical="center"/>
      <protection locked="0"/>
    </xf>
    <xf numFmtId="164" fontId="3" fillId="0" borderId="2" xfId="0" applyNumberFormat="1" applyFont="1" applyBorder="1" applyAlignment="1" applyProtection="1">
      <alignment vertical="center"/>
    </xf>
    <xf numFmtId="165" fontId="3" fillId="0" borderId="2" xfId="0" applyNumberFormat="1" applyFont="1" applyBorder="1" applyAlignment="1" applyProtection="1">
      <alignment horizontal="right" vertical="center" indent="1"/>
    </xf>
    <xf numFmtId="2" fontId="3" fillId="0" borderId="2" xfId="0" applyNumberFormat="1" applyFont="1" applyBorder="1" applyAlignment="1" applyProtection="1">
      <alignment vertical="center"/>
    </xf>
    <xf numFmtId="2" fontId="3" fillId="3" borderId="2" xfId="0" applyNumberFormat="1" applyFont="1" applyFill="1" applyBorder="1" applyAlignment="1" applyProtection="1">
      <alignment vertical="center"/>
    </xf>
    <xf numFmtId="2" fontId="6" fillId="6" borderId="2" xfId="0" applyNumberFormat="1" applyFont="1" applyFill="1" applyBorder="1" applyAlignment="1" applyProtection="1">
      <alignment horizontal="center" vertical="center" wrapText="1"/>
      <protection locked="0"/>
    </xf>
    <xf numFmtId="2" fontId="20" fillId="2" borderId="2" xfId="0" applyNumberFormat="1" applyFont="1" applyFill="1" applyBorder="1" applyAlignment="1" applyProtection="1">
      <alignment vertical="center"/>
    </xf>
    <xf numFmtId="2" fontId="20" fillId="4" borderId="2" xfId="0" applyNumberFormat="1" applyFont="1" applyFill="1" applyBorder="1" applyAlignment="1" applyProtection="1">
      <alignment vertical="center"/>
    </xf>
    <xf numFmtId="2" fontId="20" fillId="5" borderId="2" xfId="0" applyNumberFormat="1" applyFont="1" applyFill="1" applyBorder="1" applyAlignment="1" applyProtection="1">
      <alignment vertical="center"/>
    </xf>
    <xf numFmtId="2" fontId="2" fillId="0" borderId="2" xfId="0" applyNumberFormat="1" applyFont="1" applyBorder="1" applyProtection="1">
      <protection locked="0"/>
    </xf>
    <xf numFmtId="0" fontId="2" fillId="3" borderId="2" xfId="0" applyFont="1" applyFill="1" applyBorder="1" applyAlignment="1" applyProtection="1">
      <alignment horizontal="center" vertical="center"/>
      <protection locked="0"/>
    </xf>
    <xf numFmtId="166" fontId="2" fillId="3" borderId="2" xfId="1" applyNumberFormat="1" applyFont="1" applyFill="1" applyBorder="1" applyAlignment="1" applyProtection="1">
      <alignment vertical="center"/>
      <protection locked="0"/>
    </xf>
    <xf numFmtId="0" fontId="3" fillId="7" borderId="3" xfId="0" applyNumberFormat="1" applyFont="1" applyFill="1" applyBorder="1" applyAlignment="1" applyProtection="1">
      <alignment horizontal="center" vertical="center"/>
      <protection locked="0"/>
    </xf>
    <xf numFmtId="0" fontId="3" fillId="7" borderId="6" xfId="0" applyNumberFormat="1" applyFont="1" applyFill="1" applyBorder="1" applyAlignment="1" applyProtection="1">
      <alignment horizontal="center" vertical="center"/>
      <protection locked="0"/>
    </xf>
    <xf numFmtId="0" fontId="3" fillId="7" borderId="3" xfId="0" applyFont="1" applyFill="1" applyBorder="1" applyAlignment="1" applyProtection="1">
      <alignment horizontal="center" vertical="center"/>
      <protection locked="0"/>
    </xf>
    <xf numFmtId="0" fontId="3" fillId="7" borderId="6" xfId="0" applyFont="1" applyFill="1" applyBorder="1" applyAlignment="1" applyProtection="1">
      <alignment horizontal="center" vertic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0" fontId="2" fillId="6" borderId="6" xfId="0" applyFont="1" applyFill="1" applyBorder="1" applyAlignment="1" applyProtection="1">
      <alignment horizontal="center" vertical="center" wrapText="1"/>
      <protection locked="0"/>
    </xf>
    <xf numFmtId="0" fontId="3" fillId="7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center"/>
      <protection locked="0"/>
    </xf>
    <xf numFmtId="0" fontId="2" fillId="0" borderId="6" xfId="0" applyFont="1" applyBorder="1" applyAlignment="1" applyProtection="1">
      <alignment horizontal="left" vertical="center"/>
      <protection locked="0"/>
    </xf>
    <xf numFmtId="0" fontId="11" fillId="0" borderId="4" xfId="0" applyFont="1" applyBorder="1" applyAlignment="1" applyProtection="1">
      <alignment horizontal="left" vertical="top"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21" fillId="2" borderId="3" xfId="0" applyFont="1" applyFill="1" applyBorder="1" applyAlignment="1" applyProtection="1">
      <alignment vertical="center"/>
      <protection locked="0"/>
    </xf>
    <xf numFmtId="0" fontId="21" fillId="0" borderId="6" xfId="0" applyFont="1" applyBorder="1" applyAlignment="1" applyProtection="1">
      <alignment vertical="center"/>
      <protection locked="0"/>
    </xf>
    <xf numFmtId="0" fontId="21" fillId="4" borderId="3" xfId="0" applyFont="1" applyFill="1" applyBorder="1" applyAlignment="1" applyProtection="1">
      <alignment vertical="center"/>
      <protection locked="0"/>
    </xf>
    <xf numFmtId="0" fontId="21" fillId="5" borderId="3" xfId="0" applyFont="1" applyFill="1" applyBorder="1" applyAlignment="1" applyProtection="1">
      <alignment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</cellXfs>
  <cellStyles count="2">
    <cellStyle name="Normal" xfId="0" builtinId="0"/>
    <cellStyle name="Percent" xfId="1" builtinId="5"/>
  </cellStyles>
  <dxfs count="12">
    <dxf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009900"/>
        </patternFill>
      </fill>
    </dxf>
    <dxf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009900"/>
        </patternFill>
      </fill>
    </dxf>
    <dxf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00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P23"/>
  <sheetViews>
    <sheetView tabSelected="1" view="pageBreakPreview" zoomScale="59" zoomScaleNormal="55" zoomScaleSheetLayoutView="59" workbookViewId="0">
      <selection activeCell="A6" sqref="A6"/>
    </sheetView>
  </sheetViews>
  <sheetFormatPr defaultColWidth="9" defaultRowHeight="15" x14ac:dyDescent="0.25"/>
  <cols>
    <col min="1" max="2" width="24.28515625" style="6" customWidth="1"/>
    <col min="3" max="3" width="56" style="6" customWidth="1"/>
    <col min="4" max="4" width="76.140625" style="6" customWidth="1"/>
    <col min="5" max="5" width="52.140625" style="6" customWidth="1"/>
    <col min="6" max="6" width="10.85546875" style="6" customWidth="1"/>
    <col min="7" max="7" width="16.85546875" style="6" customWidth="1"/>
    <col min="8" max="8" width="17" style="6" customWidth="1"/>
    <col min="9" max="9" width="16.5703125" style="6" customWidth="1"/>
    <col min="10" max="10" width="17.42578125" style="6" bestFit="1" customWidth="1"/>
    <col min="11" max="14" width="9" style="6"/>
    <col min="15" max="15" width="8.85546875" style="6" hidden="1" customWidth="1"/>
    <col min="16" max="16384" width="9" style="6"/>
  </cols>
  <sheetData>
    <row r="1" spans="1:16" ht="71.25" customHeight="1" x14ac:dyDescent="0.35">
      <c r="A1" s="42" t="s">
        <v>0</v>
      </c>
      <c r="B1" s="43"/>
      <c r="C1" s="1"/>
      <c r="D1" s="44" t="s">
        <v>14</v>
      </c>
      <c r="E1" s="2"/>
      <c r="F1" s="51" t="s">
        <v>21</v>
      </c>
      <c r="G1" s="52"/>
      <c r="H1" s="32">
        <f>SUM(H2:H4)</f>
        <v>0</v>
      </c>
      <c r="I1" s="3"/>
      <c r="J1" s="33" t="s">
        <v>22</v>
      </c>
      <c r="K1" s="4"/>
      <c r="L1" s="4"/>
      <c r="M1" s="5"/>
      <c r="N1" s="5"/>
      <c r="O1" s="5"/>
      <c r="P1" s="5"/>
    </row>
    <row r="2" spans="1:16" ht="71.25" customHeight="1" x14ac:dyDescent="0.25">
      <c r="A2" s="42" t="s">
        <v>2</v>
      </c>
      <c r="B2" s="43"/>
      <c r="C2" s="7"/>
      <c r="D2" s="45"/>
      <c r="E2" s="7" t="s">
        <v>15</v>
      </c>
      <c r="F2" s="47" t="s">
        <v>1</v>
      </c>
      <c r="G2" s="48"/>
      <c r="H2" s="29">
        <f>SUMIF(I6:I164,"v",H6:H164)</f>
        <v>0</v>
      </c>
      <c r="I2" s="8" t="s">
        <v>12</v>
      </c>
      <c r="J2" s="34" t="e">
        <f>H2/$H$1</f>
        <v>#DIV/0!</v>
      </c>
      <c r="K2" s="9"/>
      <c r="L2" s="9"/>
      <c r="M2" s="10"/>
      <c r="N2" s="10"/>
      <c r="O2" s="11"/>
      <c r="P2" s="10"/>
    </row>
    <row r="3" spans="1:16" ht="71.25" customHeight="1" x14ac:dyDescent="0.25">
      <c r="A3" s="42" t="s">
        <v>4</v>
      </c>
      <c r="B3" s="43"/>
      <c r="C3" s="12"/>
      <c r="D3" s="45"/>
      <c r="E3" s="13" t="s">
        <v>16</v>
      </c>
      <c r="F3" s="49" t="s">
        <v>3</v>
      </c>
      <c r="G3" s="48"/>
      <c r="H3" s="30">
        <f>SUMIF(I6:I164,"b",H6:H164)</f>
        <v>0</v>
      </c>
      <c r="I3" s="8" t="s">
        <v>11</v>
      </c>
      <c r="J3" s="34" t="e">
        <f t="shared" ref="J3:J4" si="0">H3/$H$1</f>
        <v>#DIV/0!</v>
      </c>
      <c r="K3" s="9"/>
      <c r="L3" s="9"/>
      <c r="M3" s="10"/>
      <c r="N3" s="10"/>
      <c r="O3" s="11"/>
      <c r="P3" s="10"/>
    </row>
    <row r="4" spans="1:16" ht="71.25" customHeight="1" x14ac:dyDescent="0.25">
      <c r="A4" s="42" t="s">
        <v>5</v>
      </c>
      <c r="B4" s="43"/>
      <c r="C4" s="14"/>
      <c r="D4" s="46"/>
      <c r="E4" s="7"/>
      <c r="F4" s="50" t="s">
        <v>20</v>
      </c>
      <c r="G4" s="48"/>
      <c r="H4" s="31">
        <f>SUMIF(I6:I164,"n",H6:H164)</f>
        <v>0</v>
      </c>
      <c r="I4" s="8" t="s">
        <v>13</v>
      </c>
      <c r="J4" s="34" t="e">
        <f t="shared" si="0"/>
        <v>#DIV/0!</v>
      </c>
      <c r="K4" s="9"/>
      <c r="L4" s="9"/>
      <c r="M4" s="10"/>
      <c r="N4" s="10"/>
      <c r="O4" s="11"/>
      <c r="P4" s="10"/>
    </row>
    <row r="5" spans="1:16" ht="69.75" x14ac:dyDescent="0.25">
      <c r="A5" s="15" t="s">
        <v>6</v>
      </c>
      <c r="B5" s="15" t="s">
        <v>7</v>
      </c>
      <c r="C5" s="39" t="s">
        <v>8</v>
      </c>
      <c r="D5" s="40"/>
      <c r="E5" s="39" t="s">
        <v>9</v>
      </c>
      <c r="F5" s="40"/>
      <c r="G5" s="15" t="s">
        <v>10</v>
      </c>
      <c r="H5" s="16" t="s">
        <v>18</v>
      </c>
      <c r="I5" s="28" t="s">
        <v>17</v>
      </c>
      <c r="J5" s="15" t="s">
        <v>19</v>
      </c>
      <c r="K5" s="17"/>
      <c r="L5" s="17"/>
      <c r="M5" s="18"/>
      <c r="N5" s="18"/>
      <c r="O5" s="11"/>
      <c r="P5" s="18"/>
    </row>
    <row r="6" spans="1:16" ht="114" customHeight="1" x14ac:dyDescent="0.25">
      <c r="A6" s="24">
        <v>0.2638888888888889</v>
      </c>
      <c r="B6" s="19">
        <v>0.28472222222222221</v>
      </c>
      <c r="C6" s="37"/>
      <c r="D6" s="38"/>
      <c r="E6" s="37"/>
      <c r="F6" s="38"/>
      <c r="G6" s="25">
        <f>IF(B6&gt;0,B6-A6,"")</f>
        <v>2.0833333333333315E-2</v>
      </c>
      <c r="H6" s="26">
        <f>IF(B6&gt;0,(HOUR(G6)*60)+MINUTE(G6)+SECOND(G6)/60,"")</f>
        <v>30</v>
      </c>
      <c r="I6" s="20"/>
      <c r="J6" s="27">
        <f>IF(B6&gt;0,H6,"")</f>
        <v>30</v>
      </c>
      <c r="K6" s="21"/>
      <c r="L6" s="21"/>
      <c r="M6" s="10"/>
      <c r="N6" s="10"/>
      <c r="O6" s="11">
        <f t="shared" ref="O6:O23" ca="1" si="1">NOW()</f>
        <v>43297.363954629633</v>
      </c>
      <c r="P6" s="10"/>
    </row>
    <row r="7" spans="1:16" ht="114" customHeight="1" x14ac:dyDescent="0.25">
      <c r="A7" s="24" t="str">
        <f>IF(B7&gt;0,B6,"")</f>
        <v/>
      </c>
      <c r="B7" s="19"/>
      <c r="C7" s="41"/>
      <c r="D7" s="38"/>
      <c r="E7" s="37"/>
      <c r="F7" s="38"/>
      <c r="G7" s="25" t="str">
        <f t="shared" ref="G7:G23" si="2">IF(B7&gt;0,B7-A7,"")</f>
        <v/>
      </c>
      <c r="H7" s="26" t="str">
        <f t="shared" ref="H7:H23" si="3">IF(B7&gt;0,(HOUR(G7)*60)+MINUTE(G7)+SECOND(G7)/60,"")</f>
        <v/>
      </c>
      <c r="I7" s="20"/>
      <c r="J7" s="27" t="str">
        <f>IF(B7&gt;0,J6+H7,"")</f>
        <v/>
      </c>
      <c r="K7" s="21"/>
      <c r="L7" s="21"/>
      <c r="M7" s="10"/>
      <c r="N7" s="10"/>
      <c r="O7" s="11">
        <f t="shared" ca="1" si="1"/>
        <v>43297.363954629633</v>
      </c>
      <c r="P7" s="10"/>
    </row>
    <row r="8" spans="1:16" ht="114" customHeight="1" x14ac:dyDescent="0.25">
      <c r="A8" s="24" t="str">
        <f t="shared" ref="A8:A23" si="4">IF(B8&gt;0,B7,"")</f>
        <v/>
      </c>
      <c r="B8" s="19"/>
      <c r="C8" s="37"/>
      <c r="D8" s="38"/>
      <c r="E8" s="37"/>
      <c r="F8" s="38"/>
      <c r="G8" s="25" t="str">
        <f t="shared" si="2"/>
        <v/>
      </c>
      <c r="H8" s="26" t="str">
        <f t="shared" si="3"/>
        <v/>
      </c>
      <c r="I8" s="20"/>
      <c r="J8" s="27" t="str">
        <f>IF(B8&gt;0,J7+H8,"")</f>
        <v/>
      </c>
      <c r="K8" s="21"/>
      <c r="L8" s="21"/>
      <c r="M8" s="10"/>
      <c r="N8" s="10"/>
      <c r="O8" s="11">
        <f t="shared" ca="1" si="1"/>
        <v>43297.363954629633</v>
      </c>
      <c r="P8" s="10"/>
    </row>
    <row r="9" spans="1:16" ht="114" customHeight="1" x14ac:dyDescent="0.25">
      <c r="A9" s="24" t="str">
        <f t="shared" si="4"/>
        <v/>
      </c>
      <c r="B9" s="19"/>
      <c r="C9" s="37"/>
      <c r="D9" s="38"/>
      <c r="E9" s="37"/>
      <c r="F9" s="38"/>
      <c r="G9" s="25" t="str">
        <f t="shared" si="2"/>
        <v/>
      </c>
      <c r="H9" s="26" t="str">
        <f t="shared" si="3"/>
        <v/>
      </c>
      <c r="I9" s="20"/>
      <c r="J9" s="27" t="str">
        <f>IF(B9&gt;0,J8+H9,"")</f>
        <v/>
      </c>
      <c r="K9" s="21"/>
      <c r="L9" s="21"/>
      <c r="M9" s="10"/>
      <c r="N9" s="10"/>
      <c r="O9" s="11">
        <f t="shared" ca="1" si="1"/>
        <v>43297.363954629633</v>
      </c>
      <c r="P9" s="10"/>
    </row>
    <row r="10" spans="1:16" ht="114" customHeight="1" x14ac:dyDescent="0.25">
      <c r="A10" s="24" t="str">
        <f t="shared" si="4"/>
        <v/>
      </c>
      <c r="B10" s="19"/>
      <c r="C10" s="37"/>
      <c r="D10" s="38"/>
      <c r="E10" s="37"/>
      <c r="F10" s="38"/>
      <c r="G10" s="25" t="str">
        <f t="shared" si="2"/>
        <v/>
      </c>
      <c r="H10" s="26" t="str">
        <f t="shared" si="3"/>
        <v/>
      </c>
      <c r="I10" s="20"/>
      <c r="J10" s="27" t="str">
        <f t="shared" ref="J10:J23" si="5">IF(B10&gt;0,J9+H10,"")</f>
        <v/>
      </c>
      <c r="K10" s="22"/>
      <c r="L10" s="22"/>
      <c r="M10" s="10"/>
      <c r="N10" s="10"/>
      <c r="O10" s="11">
        <f t="shared" ca="1" si="1"/>
        <v>43297.363954629633</v>
      </c>
      <c r="P10" s="10"/>
    </row>
    <row r="11" spans="1:16" ht="114" customHeight="1" x14ac:dyDescent="0.25">
      <c r="A11" s="24" t="str">
        <f t="shared" si="4"/>
        <v/>
      </c>
      <c r="B11" s="19"/>
      <c r="C11" s="37"/>
      <c r="D11" s="38"/>
      <c r="E11" s="37"/>
      <c r="F11" s="38"/>
      <c r="G11" s="25" t="str">
        <f t="shared" si="2"/>
        <v/>
      </c>
      <c r="H11" s="26" t="str">
        <f t="shared" si="3"/>
        <v/>
      </c>
      <c r="I11" s="20"/>
      <c r="J11" s="27" t="str">
        <f t="shared" si="5"/>
        <v/>
      </c>
      <c r="K11" s="21"/>
      <c r="L11" s="21"/>
      <c r="M11" s="10"/>
      <c r="N11" s="10"/>
      <c r="O11" s="11">
        <f t="shared" ca="1" si="1"/>
        <v>43297.363954629633</v>
      </c>
      <c r="P11" s="10"/>
    </row>
    <row r="12" spans="1:16" ht="114" customHeight="1" x14ac:dyDescent="0.25">
      <c r="A12" s="24" t="str">
        <f t="shared" si="4"/>
        <v/>
      </c>
      <c r="B12" s="19"/>
      <c r="C12" s="37"/>
      <c r="D12" s="38"/>
      <c r="E12" s="37"/>
      <c r="F12" s="38"/>
      <c r="G12" s="25" t="str">
        <f t="shared" si="2"/>
        <v/>
      </c>
      <c r="H12" s="26" t="str">
        <f t="shared" si="3"/>
        <v/>
      </c>
      <c r="I12" s="20"/>
      <c r="J12" s="27" t="str">
        <f t="shared" si="5"/>
        <v/>
      </c>
      <c r="K12" s="21"/>
      <c r="L12" s="21"/>
      <c r="M12" s="10"/>
      <c r="N12" s="10"/>
      <c r="O12" s="11">
        <f t="shared" ca="1" si="1"/>
        <v>43297.363954629633</v>
      </c>
      <c r="P12" s="10"/>
    </row>
    <row r="13" spans="1:16" ht="114" customHeight="1" x14ac:dyDescent="0.25">
      <c r="A13" s="24" t="str">
        <f t="shared" si="4"/>
        <v/>
      </c>
      <c r="B13" s="19"/>
      <c r="C13" s="37"/>
      <c r="D13" s="38"/>
      <c r="E13" s="37"/>
      <c r="F13" s="38"/>
      <c r="G13" s="25" t="str">
        <f t="shared" si="2"/>
        <v/>
      </c>
      <c r="H13" s="26" t="str">
        <f t="shared" si="3"/>
        <v/>
      </c>
      <c r="I13" s="20"/>
      <c r="J13" s="27" t="str">
        <f t="shared" si="5"/>
        <v/>
      </c>
      <c r="K13" s="21"/>
      <c r="L13" s="21"/>
      <c r="M13" s="10"/>
      <c r="N13" s="10"/>
      <c r="O13" s="11">
        <f t="shared" ca="1" si="1"/>
        <v>43297.363954629633</v>
      </c>
      <c r="P13" s="10"/>
    </row>
    <row r="14" spans="1:16" ht="114" customHeight="1" x14ac:dyDescent="0.25">
      <c r="A14" s="24" t="str">
        <f t="shared" si="4"/>
        <v/>
      </c>
      <c r="B14" s="19"/>
      <c r="C14" s="37"/>
      <c r="D14" s="38"/>
      <c r="E14" s="37"/>
      <c r="F14" s="38"/>
      <c r="G14" s="25" t="str">
        <f t="shared" si="2"/>
        <v/>
      </c>
      <c r="H14" s="26" t="str">
        <f t="shared" si="3"/>
        <v/>
      </c>
      <c r="I14" s="20"/>
      <c r="J14" s="27" t="str">
        <f t="shared" si="5"/>
        <v/>
      </c>
      <c r="K14" s="21"/>
      <c r="L14" s="21"/>
      <c r="M14" s="10"/>
      <c r="N14" s="10"/>
      <c r="O14" s="11">
        <f t="shared" ca="1" si="1"/>
        <v>43297.363954629633</v>
      </c>
      <c r="P14" s="10"/>
    </row>
    <row r="15" spans="1:16" ht="114" customHeight="1" x14ac:dyDescent="0.25">
      <c r="A15" s="24" t="str">
        <f t="shared" si="4"/>
        <v/>
      </c>
      <c r="B15" s="19"/>
      <c r="C15" s="37"/>
      <c r="D15" s="38"/>
      <c r="E15" s="37"/>
      <c r="F15" s="38"/>
      <c r="G15" s="25" t="str">
        <f t="shared" si="2"/>
        <v/>
      </c>
      <c r="H15" s="26" t="str">
        <f t="shared" si="3"/>
        <v/>
      </c>
      <c r="I15" s="20"/>
      <c r="J15" s="27" t="str">
        <f t="shared" si="5"/>
        <v/>
      </c>
      <c r="K15" s="21"/>
      <c r="L15" s="21"/>
      <c r="M15" s="10"/>
      <c r="N15" s="10"/>
      <c r="O15" s="11">
        <f t="shared" ca="1" si="1"/>
        <v>43297.363954629633</v>
      </c>
      <c r="P15" s="10"/>
    </row>
    <row r="16" spans="1:16" ht="114" customHeight="1" x14ac:dyDescent="0.25">
      <c r="A16" s="24" t="str">
        <f t="shared" si="4"/>
        <v/>
      </c>
      <c r="B16" s="19"/>
      <c r="C16" s="37"/>
      <c r="D16" s="38"/>
      <c r="E16" s="37"/>
      <c r="F16" s="38"/>
      <c r="G16" s="25" t="str">
        <f t="shared" si="2"/>
        <v/>
      </c>
      <c r="H16" s="26" t="str">
        <f t="shared" si="3"/>
        <v/>
      </c>
      <c r="I16" s="20"/>
      <c r="J16" s="27" t="str">
        <f t="shared" si="5"/>
        <v/>
      </c>
      <c r="K16" s="23"/>
      <c r="L16" s="23"/>
      <c r="M16" s="10"/>
      <c r="N16" s="10"/>
      <c r="O16" s="11">
        <f t="shared" ca="1" si="1"/>
        <v>43297.363954629633</v>
      </c>
      <c r="P16" s="10"/>
    </row>
    <row r="17" spans="1:16" ht="114" customHeight="1" x14ac:dyDescent="0.25">
      <c r="A17" s="24" t="str">
        <f t="shared" si="4"/>
        <v/>
      </c>
      <c r="B17" s="19"/>
      <c r="C17" s="37"/>
      <c r="D17" s="38"/>
      <c r="E17" s="37"/>
      <c r="F17" s="38"/>
      <c r="G17" s="25" t="str">
        <f t="shared" si="2"/>
        <v/>
      </c>
      <c r="H17" s="26" t="str">
        <f t="shared" si="3"/>
        <v/>
      </c>
      <c r="I17" s="20"/>
      <c r="J17" s="27" t="str">
        <f t="shared" si="5"/>
        <v/>
      </c>
      <c r="K17" s="21"/>
      <c r="L17" s="21"/>
      <c r="M17" s="10"/>
      <c r="N17" s="10"/>
      <c r="O17" s="11">
        <f t="shared" ca="1" si="1"/>
        <v>43297.363954629633</v>
      </c>
      <c r="P17" s="10"/>
    </row>
    <row r="18" spans="1:16" ht="114" customHeight="1" x14ac:dyDescent="0.25">
      <c r="A18" s="24" t="str">
        <f t="shared" si="4"/>
        <v/>
      </c>
      <c r="B18" s="19"/>
      <c r="C18" s="37"/>
      <c r="D18" s="38"/>
      <c r="E18" s="37"/>
      <c r="F18" s="38"/>
      <c r="G18" s="25" t="str">
        <f t="shared" si="2"/>
        <v/>
      </c>
      <c r="H18" s="26" t="str">
        <f t="shared" si="3"/>
        <v/>
      </c>
      <c r="I18" s="20"/>
      <c r="J18" s="27" t="str">
        <f t="shared" si="5"/>
        <v/>
      </c>
      <c r="K18" s="21"/>
      <c r="L18" s="21"/>
      <c r="M18" s="10"/>
      <c r="N18" s="10"/>
      <c r="O18" s="11">
        <f t="shared" ca="1" si="1"/>
        <v>43297.363954629633</v>
      </c>
      <c r="P18" s="10"/>
    </row>
    <row r="19" spans="1:16" ht="114" customHeight="1" x14ac:dyDescent="0.25">
      <c r="A19" s="24" t="str">
        <f t="shared" si="4"/>
        <v/>
      </c>
      <c r="B19" s="19"/>
      <c r="C19" s="35"/>
      <c r="D19" s="36"/>
      <c r="E19" s="37"/>
      <c r="F19" s="38"/>
      <c r="G19" s="25" t="str">
        <f t="shared" si="2"/>
        <v/>
      </c>
      <c r="H19" s="26" t="str">
        <f t="shared" si="3"/>
        <v/>
      </c>
      <c r="I19" s="20"/>
      <c r="J19" s="27" t="str">
        <f t="shared" si="5"/>
        <v/>
      </c>
      <c r="K19" s="21"/>
      <c r="L19" s="21"/>
      <c r="M19" s="10"/>
      <c r="N19" s="10"/>
      <c r="O19" s="11">
        <f t="shared" ca="1" si="1"/>
        <v>43297.363954629633</v>
      </c>
      <c r="P19" s="10"/>
    </row>
    <row r="20" spans="1:16" ht="114" customHeight="1" x14ac:dyDescent="0.25">
      <c r="A20" s="24" t="str">
        <f t="shared" si="4"/>
        <v/>
      </c>
      <c r="B20" s="19"/>
      <c r="C20" s="35"/>
      <c r="D20" s="36"/>
      <c r="E20" s="37"/>
      <c r="F20" s="38"/>
      <c r="G20" s="25" t="str">
        <f t="shared" si="2"/>
        <v/>
      </c>
      <c r="H20" s="26" t="str">
        <f t="shared" si="3"/>
        <v/>
      </c>
      <c r="I20" s="20"/>
      <c r="J20" s="27" t="str">
        <f t="shared" si="5"/>
        <v/>
      </c>
      <c r="K20" s="21"/>
      <c r="L20" s="21"/>
      <c r="M20" s="10"/>
      <c r="N20" s="10"/>
      <c r="O20" s="11">
        <f t="shared" ca="1" si="1"/>
        <v>43297.363954629633</v>
      </c>
      <c r="P20" s="10"/>
    </row>
    <row r="21" spans="1:16" ht="114" customHeight="1" x14ac:dyDescent="0.25">
      <c r="A21" s="24" t="str">
        <f t="shared" si="4"/>
        <v/>
      </c>
      <c r="B21" s="19"/>
      <c r="C21" s="35"/>
      <c r="D21" s="36"/>
      <c r="E21" s="37"/>
      <c r="F21" s="38"/>
      <c r="G21" s="25" t="str">
        <f t="shared" si="2"/>
        <v/>
      </c>
      <c r="H21" s="26" t="str">
        <f t="shared" si="3"/>
        <v/>
      </c>
      <c r="I21" s="20"/>
      <c r="J21" s="27" t="str">
        <f t="shared" si="5"/>
        <v/>
      </c>
      <c r="K21" s="21"/>
      <c r="L21" s="21"/>
      <c r="M21" s="10"/>
      <c r="N21" s="10"/>
      <c r="O21" s="11">
        <f t="shared" ca="1" si="1"/>
        <v>43297.363954629633</v>
      </c>
      <c r="P21" s="10"/>
    </row>
    <row r="22" spans="1:16" ht="114" customHeight="1" x14ac:dyDescent="0.25">
      <c r="A22" s="24" t="str">
        <f t="shared" si="4"/>
        <v/>
      </c>
      <c r="B22" s="19"/>
      <c r="C22" s="35"/>
      <c r="D22" s="36"/>
      <c r="E22" s="37"/>
      <c r="F22" s="38"/>
      <c r="G22" s="25" t="str">
        <f t="shared" si="2"/>
        <v/>
      </c>
      <c r="H22" s="26" t="str">
        <f t="shared" si="3"/>
        <v/>
      </c>
      <c r="I22" s="20"/>
      <c r="J22" s="27" t="str">
        <f t="shared" si="5"/>
        <v/>
      </c>
      <c r="K22" s="21"/>
      <c r="L22" s="21"/>
      <c r="M22" s="10"/>
      <c r="N22" s="10"/>
      <c r="O22" s="11">
        <f t="shared" ca="1" si="1"/>
        <v>43297.363954629633</v>
      </c>
      <c r="P22" s="10"/>
    </row>
    <row r="23" spans="1:16" ht="114" customHeight="1" x14ac:dyDescent="0.25">
      <c r="A23" s="24" t="str">
        <f t="shared" si="4"/>
        <v/>
      </c>
      <c r="B23" s="19"/>
      <c r="C23" s="35"/>
      <c r="D23" s="36"/>
      <c r="E23" s="37"/>
      <c r="F23" s="38"/>
      <c r="G23" s="25" t="str">
        <f t="shared" si="2"/>
        <v/>
      </c>
      <c r="H23" s="26" t="str">
        <f t="shared" si="3"/>
        <v/>
      </c>
      <c r="I23" s="20"/>
      <c r="J23" s="27" t="str">
        <f t="shared" si="5"/>
        <v/>
      </c>
      <c r="K23" s="9"/>
      <c r="L23" s="9"/>
      <c r="M23" s="10"/>
      <c r="N23" s="10"/>
      <c r="O23" s="11">
        <f t="shared" ca="1" si="1"/>
        <v>43297.363954629633</v>
      </c>
      <c r="P23" s="10"/>
    </row>
  </sheetData>
  <mergeCells count="47">
    <mergeCell ref="A1:B1"/>
    <mergeCell ref="D1:D4"/>
    <mergeCell ref="A2:B2"/>
    <mergeCell ref="F2:G2"/>
    <mergeCell ref="A3:B3"/>
    <mergeCell ref="F3:G3"/>
    <mergeCell ref="A4:B4"/>
    <mergeCell ref="F4:G4"/>
    <mergeCell ref="F1:G1"/>
    <mergeCell ref="C5:D5"/>
    <mergeCell ref="E5:F5"/>
    <mergeCell ref="C6:D6"/>
    <mergeCell ref="E6:F6"/>
    <mergeCell ref="C7:D7"/>
    <mergeCell ref="E7:F7"/>
    <mergeCell ref="C8:D8"/>
    <mergeCell ref="E8:F8"/>
    <mergeCell ref="C9:D9"/>
    <mergeCell ref="E9:F9"/>
    <mergeCell ref="C10:D10"/>
    <mergeCell ref="E10:F10"/>
    <mergeCell ref="C11:D11"/>
    <mergeCell ref="E11:F11"/>
    <mergeCell ref="C12:D12"/>
    <mergeCell ref="E12:F12"/>
    <mergeCell ref="C13:D13"/>
    <mergeCell ref="E13:F13"/>
    <mergeCell ref="C14:D14"/>
    <mergeCell ref="E14:F14"/>
    <mergeCell ref="C15:D15"/>
    <mergeCell ref="E15:F15"/>
    <mergeCell ref="C16:D16"/>
    <mergeCell ref="E16:F16"/>
    <mergeCell ref="C17:D17"/>
    <mergeCell ref="E17:F17"/>
    <mergeCell ref="C18:D18"/>
    <mergeCell ref="E18:F18"/>
    <mergeCell ref="C19:D19"/>
    <mergeCell ref="E19:F19"/>
    <mergeCell ref="C23:D23"/>
    <mergeCell ref="E23:F23"/>
    <mergeCell ref="C20:D20"/>
    <mergeCell ref="E20:F20"/>
    <mergeCell ref="C21:D21"/>
    <mergeCell ref="E21:F21"/>
    <mergeCell ref="C22:D22"/>
    <mergeCell ref="E22:F22"/>
  </mergeCells>
  <conditionalFormatting sqref="I17:I23">
    <cfRule type="cellIs" dxfId="11" priority="10" operator="equal">
      <formula>"V"</formula>
    </cfRule>
    <cfRule type="cellIs" dxfId="10" priority="11" operator="equal">
      <formula>"b"</formula>
    </cfRule>
    <cfRule type="cellIs" dxfId="9" priority="12" operator="equal">
      <formula>"n"</formula>
    </cfRule>
  </conditionalFormatting>
  <conditionalFormatting sqref="I5 I17:I23">
    <cfRule type="containsText" dxfId="8" priority="9" operator="containsText" text="n">
      <formula>NOT(ISERROR(SEARCH("n",I5)))</formula>
    </cfRule>
  </conditionalFormatting>
  <conditionalFormatting sqref="I13:I16">
    <cfRule type="cellIs" dxfId="7" priority="6" operator="equal">
      <formula>"V"</formula>
    </cfRule>
    <cfRule type="cellIs" dxfId="6" priority="7" operator="equal">
      <formula>"b"</formula>
    </cfRule>
    <cfRule type="cellIs" dxfId="5" priority="8" operator="equal">
      <formula>"n"</formula>
    </cfRule>
  </conditionalFormatting>
  <conditionalFormatting sqref="I13:I16">
    <cfRule type="containsText" dxfId="4" priority="5" operator="containsText" text="n">
      <formula>NOT(ISERROR(SEARCH("n",I13)))</formula>
    </cfRule>
  </conditionalFormatting>
  <conditionalFormatting sqref="I6:I12">
    <cfRule type="cellIs" dxfId="3" priority="2" operator="equal">
      <formula>"V"</formula>
    </cfRule>
    <cfRule type="cellIs" dxfId="2" priority="3" operator="equal">
      <formula>"b"</formula>
    </cfRule>
    <cfRule type="cellIs" dxfId="1" priority="4" operator="equal">
      <formula>"n"</formula>
    </cfRule>
  </conditionalFormatting>
  <conditionalFormatting sqref="I6:I12">
    <cfRule type="containsText" dxfId="0" priority="1" operator="containsText" text="n">
      <formula>NOT(ISERROR(SEARCH("n",I6)))</formula>
    </cfRule>
  </conditionalFormatting>
  <pageMargins left="0.7" right="0.7" top="0.75" bottom="0.75" header="0.3" footer="0.3"/>
  <pageSetup scale="2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Time Study_1</vt:lpstr>
      <vt:lpstr>'Time Study_1'!Print_Area</vt:lpstr>
    </vt:vector>
  </TitlesOfParts>
  <Company>Knapheide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Kasza</dc:creator>
  <cp:lastModifiedBy>Sunil Rajagopal</cp:lastModifiedBy>
  <cp:lastPrinted>2018-01-24T19:52:18Z</cp:lastPrinted>
  <dcterms:created xsi:type="dcterms:W3CDTF">2016-12-20T20:24:23Z</dcterms:created>
  <dcterms:modified xsi:type="dcterms:W3CDTF">2018-07-16T13:48:06Z</dcterms:modified>
</cp:coreProperties>
</file>